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algado\Documents\GitHub\Emprendimiento-Digital\Módulo1\"/>
    </mc:Choice>
  </mc:AlternateContent>
  <xr:revisionPtr revIDLastSave="0" documentId="13_ncr:1_{C51415E0-4C08-4566-A7A0-251CDFD70828}" xr6:coauthVersionLast="47" xr6:coauthVersionMax="47" xr10:uidLastSave="{00000000-0000-0000-0000-000000000000}"/>
  <bookViews>
    <workbookView xWindow="-120" yWindow="-120" windowWidth="29040" windowHeight="15840" xr2:uid="{6EC5E89E-9648-4AE7-9BB9-98A272A51D7A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4" i="1"/>
  <c r="C9" i="1"/>
  <c r="C10" i="1" s="1"/>
  <c r="C11" i="1" l="1"/>
  <c r="C14" i="1" s="1"/>
  <c r="D9" i="1" l="1"/>
  <c r="D10" i="1" s="1"/>
  <c r="D11" i="1" s="1"/>
  <c r="D14" i="1" s="1"/>
  <c r="E9" i="1" s="1"/>
  <c r="E10" i="1" s="1"/>
  <c r="E11" i="1" s="1"/>
  <c r="E14" i="1" s="1"/>
</calcChain>
</file>

<file path=xl/sharedStrings.xml><?xml version="1.0" encoding="utf-8"?>
<sst xmlns="http://schemas.openxmlformats.org/spreadsheetml/2006/main" count="17" uniqueCount="17">
  <si>
    <t>Ingresos x Venta</t>
  </si>
  <si>
    <t>UAI</t>
  </si>
  <si>
    <t>Impuestos</t>
  </si>
  <si>
    <t>UDI</t>
  </si>
  <si>
    <t>Gastos</t>
  </si>
  <si>
    <t>Inversión</t>
  </si>
  <si>
    <t>PERIODO</t>
  </si>
  <si>
    <t>FLUJO DE CAJA</t>
  </si>
  <si>
    <t>Interes</t>
  </si>
  <si>
    <t>Total</t>
  </si>
  <si>
    <t>VAN</t>
  </si>
  <si>
    <t>TIR</t>
  </si>
  <si>
    <t>Costos Variables</t>
  </si>
  <si>
    <t>Insumos</t>
  </si>
  <si>
    <t>Marzo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</si>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</sst>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&quot;$&quot;\-#,##0.00"/>
    <numFmt numFmtId="164" formatCode="&quot;$&quot;#,##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Biome"/>
      <family val="2"/>
    </font>
    <font>
      <sz val="11"/>
      <color theme="0"/>
      <name val="Biome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4" fillId="3" borderId="0" xfId="2" applyFont="1"/>
    <xf numFmtId="0" fontId="4" fillId="3" borderId="0" xfId="2" applyFont="1" applyAlignment="1">
      <alignment horizontal="center"/>
    </xf>
    <xf numFmtId="164" fontId="5" fillId="0" borderId="0" xfId="0" applyNumberFormat="1" applyFont="1"/>
    <xf numFmtId="164" fontId="6" fillId="4" borderId="0" xfId="3" applyNumberFormat="1" applyFont="1"/>
    <xf numFmtId="165" fontId="6" fillId="4" borderId="0" xfId="3" applyNumberFormat="1" applyFont="1"/>
    <xf numFmtId="0" fontId="1" fillId="4" borderId="0" xfId="3" applyAlignment="1">
      <alignment horizontal="center"/>
    </xf>
    <xf numFmtId="0" fontId="3" fillId="2" borderId="0" xfId="1" applyFont="1" applyAlignment="1">
      <alignment horizontal="center"/>
    </xf>
    <xf numFmtId="8" fontId="0" fillId="0" borderId="0" xfId="0" applyNumberFormat="1"/>
    <xf numFmtId="9" fontId="0" fillId="0" borderId="0" xfId="0" applyNumberFormat="1"/>
  </cellXfs>
  <cellStyles count="4">
    <cellStyle name="60% - Énfasis6" xfId="3" builtinId="52"/>
    <cellStyle name="Énfasis1" xfId="1" builtinId="29"/>
    <cellStyle name="Énfasis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93FD-2DB5-491C-B35C-3231E358085A}">
  <dimension ref="A2:E19"/>
  <sheetViews>
    <sheetView tabSelected="1" workbookViewId="0">
      <selection activeCell="B19" sqref="B19"/>
    </sheetView>
  </sheetViews>
  <sheetFormatPr baseColWidth="10" defaultRowHeight="15" x14ac:dyDescent="0.25"/>
  <cols>
    <col min="1" max="1" width="19.28515625" bestFit="1" customWidth="1"/>
    <col min="2" max="2" width="13.7109375" bestFit="1" customWidth="1"/>
    <col min="3" max="4" width="12.7109375" bestFit="1" customWidth="1"/>
    <col min="5" max="5" width="14" bestFit="1" customWidth="1"/>
  </cols>
  <sheetData>
    <row r="2" spans="1:5" ht="24" x14ac:dyDescent="0.4">
      <c r="A2" s="7" t="s">
        <v>7</v>
      </c>
      <c r="B2" s="7"/>
      <c r="C2" s="7"/>
      <c r="D2" s="7"/>
      <c r="E2" s="7"/>
    </row>
    <row r="4" spans="1:5" x14ac:dyDescent="0.25">
      <c r="A4" s="1"/>
      <c r="B4" s="6" t="s">
        <v>6</v>
      </c>
      <c r="C4" s="6"/>
      <c r="D4" s="6"/>
      <c r="E4" s="6"/>
    </row>
    <row r="5" spans="1:5" x14ac:dyDescent="0.25">
      <c r="A5" s="1"/>
      <c r="B5" s="2">
        <v>0</v>
      </c>
      <c r="C5" s="2" t="s">
        <v>14</v>
      </c>
      <c r="D5" s="2" t="s">
        <v>15</v>
      </c>
      <c r="E5" s="2" t="s">
        <v>16</v>
      </c>
    </row>
    <row r="6" spans="1:5" ht="17.25" x14ac:dyDescent="0.3">
      <c r="A6" s="1" t="s">
        <v>0</v>
      </c>
      <c r="B6" s="3"/>
      <c r="C6" s="3">
        <v>1250000</v>
      </c>
      <c r="D6" s="3">
        <v>7560000</v>
      </c>
      <c r="E6" s="3">
        <v>11687452</v>
      </c>
    </row>
    <row r="7" spans="1:5" ht="17.25" x14ac:dyDescent="0.3">
      <c r="A7" s="1" t="s">
        <v>13</v>
      </c>
      <c r="B7" s="3"/>
      <c r="C7" s="3">
        <v>680000</v>
      </c>
      <c r="D7" s="3">
        <v>4550000</v>
      </c>
      <c r="E7" s="3">
        <v>8950000</v>
      </c>
    </row>
    <row r="8" spans="1:5" ht="17.25" x14ac:dyDescent="0.3">
      <c r="A8" s="1" t="s">
        <v>12</v>
      </c>
      <c r="B8" s="3"/>
      <c r="C8" s="3">
        <v>96550</v>
      </c>
      <c r="D8" s="3">
        <v>1250000</v>
      </c>
      <c r="E8" s="3">
        <v>670000</v>
      </c>
    </row>
    <row r="9" spans="1:5" ht="15.75" x14ac:dyDescent="0.25">
      <c r="A9" s="1" t="s">
        <v>1</v>
      </c>
      <c r="B9" s="4"/>
      <c r="C9" s="4">
        <f t="shared" ref="C9:E9" si="0">C6-C7-C8</f>
        <v>473450</v>
      </c>
      <c r="D9" s="4">
        <f t="shared" si="0"/>
        <v>1760000</v>
      </c>
      <c r="E9" s="4">
        <f t="shared" si="0"/>
        <v>2067452</v>
      </c>
    </row>
    <row r="10" spans="1:5" ht="17.25" x14ac:dyDescent="0.3">
      <c r="A10" s="1" t="s">
        <v>2</v>
      </c>
      <c r="B10" s="3"/>
      <c r="C10" s="3">
        <f>C9*0.19</f>
        <v>89955.5</v>
      </c>
      <c r="D10" s="3">
        <f t="shared" ref="D10:E10" si="1">D9*0.19</f>
        <v>334400</v>
      </c>
      <c r="E10" s="3">
        <f t="shared" si="1"/>
        <v>392815.88</v>
      </c>
    </row>
    <row r="11" spans="1:5" ht="15.75" x14ac:dyDescent="0.25">
      <c r="A11" s="1" t="s">
        <v>3</v>
      </c>
      <c r="B11" s="4"/>
      <c r="C11" s="4">
        <f t="shared" ref="C11:E11" si="2">C9-C10</f>
        <v>383494.5</v>
      </c>
      <c r="D11" s="4">
        <f t="shared" si="2"/>
        <v>1425600</v>
      </c>
      <c r="E11" s="4">
        <f t="shared" si="2"/>
        <v>1674636.12</v>
      </c>
    </row>
    <row r="12" spans="1:5" ht="17.25" x14ac:dyDescent="0.3">
      <c r="A12" s="1" t="s">
        <v>4</v>
      </c>
      <c r="B12" s="3"/>
      <c r="C12" s="3">
        <v>550000</v>
      </c>
      <c r="D12" s="3">
        <v>750000</v>
      </c>
      <c r="E12" s="3">
        <v>780000</v>
      </c>
    </row>
    <row r="13" spans="1:5" ht="17.25" x14ac:dyDescent="0.3">
      <c r="A13" s="1" t="s">
        <v>5</v>
      </c>
      <c r="B13" s="3">
        <v>-1000000</v>
      </c>
      <c r="C13" s="3"/>
      <c r="D13" s="3"/>
      <c r="E13" s="3"/>
    </row>
    <row r="14" spans="1:5" ht="15.75" x14ac:dyDescent="0.25">
      <c r="A14" s="1" t="s">
        <v>9</v>
      </c>
      <c r="B14" s="4">
        <f>B13</f>
        <v>-1000000</v>
      </c>
      <c r="C14" s="4">
        <f>C11-C12</f>
        <v>-166505.5</v>
      </c>
      <c r="D14" s="4">
        <f t="shared" ref="D14:E14" si="3">D11-D12</f>
        <v>675600</v>
      </c>
      <c r="E14" s="4">
        <f t="shared" si="3"/>
        <v>894636.12000000011</v>
      </c>
    </row>
    <row r="17" spans="1:2" ht="15.75" x14ac:dyDescent="0.25">
      <c r="A17" s="1" t="s">
        <v>8</v>
      </c>
      <c r="B17" s="5">
        <v>2.5000000000000001E-2</v>
      </c>
    </row>
    <row r="18" spans="1:2" x14ac:dyDescent="0.25">
      <c r="A18" s="1" t="s">
        <v>10</v>
      </c>
      <c r="B18" s="8">
        <f>NPV(B17,B14,C14,D14,E14)</f>
        <v>303765.8437497018</v>
      </c>
    </row>
    <row r="19" spans="1:2" x14ac:dyDescent="0.25">
      <c r="A19" s="1" t="s">
        <v>11</v>
      </c>
      <c r="B19" s="9">
        <f>IRR(B14:E14)</f>
        <v>0.13072333468417474</v>
      </c>
    </row>
  </sheetData>
  <mergeCells count="2">
    <mergeCell ref="B4:E4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1262-BB3A-4B64-9705-DC01E0586A1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AF9D-010F-4910-8543-214158E8039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F012-1111-425F-A593-03D461560A3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2AB4-044F-4149-93BE-818B3CD1018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jsalgado</dc:creator>
  <cp:lastModifiedBy>jsalgado</cp:lastModifiedBy>
  <dcterms:created xsi:type="dcterms:W3CDTF">2021-07-01T00:45:51Z</dcterms:created>
  <dcterms:modified xsi:type="dcterms:W3CDTF">2021-07-02T00:14:50Z</dcterms:modified>
</cp:coreProperties>
</file>